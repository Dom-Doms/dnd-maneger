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enico\Downloads\"/>
    </mc:Choice>
  </mc:AlternateContent>
  <xr:revisionPtr revIDLastSave="0" documentId="13_ncr:1_{B6C42AA4-2BAD-4E38-83C6-03986F6F81E8}" xr6:coauthVersionLast="47" xr6:coauthVersionMax="47" xr10:uidLastSave="{00000000-0000-0000-0000-000000000000}"/>
  <bookViews>
    <workbookView xWindow="-108" yWindow="-108" windowWidth="23256" windowHeight="12456" xr2:uid="{696F34A3-EC28-4531-B68C-56375A36146B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E19" i="1"/>
  <c r="F19" i="1"/>
  <c r="F6" i="1"/>
  <c r="E6" i="1"/>
  <c r="D26" i="1"/>
  <c r="E34" i="1" s="1"/>
  <c r="F34" i="1" s="1"/>
  <c r="G34" i="1" s="1"/>
  <c r="H34" i="1" s="1"/>
  <c r="I34" i="1" s="1"/>
  <c r="J34" i="1" s="1"/>
  <c r="D27" i="1"/>
  <c r="D28" i="1" s="1"/>
  <c r="E27" i="1"/>
  <c r="F27" i="1"/>
  <c r="G27" i="1"/>
  <c r="H27" i="1"/>
  <c r="I27" i="1"/>
  <c r="J27" i="1"/>
  <c r="K70" i="1"/>
  <c r="I70" i="1"/>
  <c r="G70" i="1"/>
  <c r="F70" i="1"/>
  <c r="H69" i="1"/>
  <c r="J68" i="1"/>
  <c r="J70" i="1" s="1"/>
  <c r="H67" i="1"/>
  <c r="H68" i="1" s="1"/>
  <c r="E67" i="1"/>
  <c r="E68" i="1" s="1"/>
  <c r="E70" i="1" s="1"/>
  <c r="F62" i="1"/>
  <c r="V65" i="1"/>
  <c r="V67" i="1" s="1"/>
  <c r="I12" i="1"/>
  <c r="J14" i="1"/>
  <c r="F91" i="1"/>
  <c r="R59" i="1"/>
  <c r="T66" i="1"/>
  <c r="W67" i="1"/>
  <c r="U67" i="1"/>
  <c r="S67" i="1"/>
  <c r="R67" i="1"/>
  <c r="X66" i="1"/>
  <c r="T64" i="1"/>
  <c r="Q64" i="1"/>
  <c r="Q65" i="1" s="1"/>
  <c r="Q67" i="1" s="1"/>
  <c r="K10" i="2"/>
  <c r="L9" i="2"/>
  <c r="L8" i="2"/>
  <c r="K7" i="2"/>
  <c r="I7" i="2"/>
  <c r="I10" i="2" s="1"/>
  <c r="L6" i="2"/>
  <c r="L5" i="2"/>
  <c r="D5" i="2"/>
  <c r="J4" i="2"/>
  <c r="L4" i="2" s="1"/>
  <c r="I4" i="2"/>
  <c r="K98" i="1"/>
  <c r="J99" i="1"/>
  <c r="I99" i="1"/>
  <c r="G99" i="1"/>
  <c r="F99" i="1"/>
  <c r="H96" i="1"/>
  <c r="H97" i="1" s="1"/>
  <c r="E96" i="1"/>
  <c r="E97" i="1" s="1"/>
  <c r="E99" i="1" s="1"/>
  <c r="H14" i="1"/>
  <c r="G13" i="1"/>
  <c r="K13" i="1" s="1"/>
  <c r="G11" i="1"/>
  <c r="G12" i="1" s="1"/>
  <c r="E14" i="1"/>
  <c r="F14" i="1"/>
  <c r="D11" i="1"/>
  <c r="D12" i="1" s="1"/>
  <c r="D14" i="1" s="1"/>
  <c r="D35" i="1" l="1"/>
  <c r="G62" i="1"/>
  <c r="K11" i="1"/>
  <c r="L67" i="1"/>
  <c r="H70" i="1"/>
  <c r="L70" i="1" s="1"/>
  <c r="M70" i="1" s="1"/>
  <c r="L68" i="1"/>
  <c r="E74" i="1"/>
  <c r="E75" i="1" s="1"/>
  <c r="L69" i="1"/>
  <c r="I14" i="1"/>
  <c r="K12" i="1"/>
  <c r="M10" i="1" s="1"/>
  <c r="K97" i="1"/>
  <c r="S59" i="1"/>
  <c r="Q71" i="1" s="1"/>
  <c r="Q74" i="1" s="1"/>
  <c r="X64" i="1"/>
  <c r="T65" i="1"/>
  <c r="J7" i="2"/>
  <c r="K96" i="1"/>
  <c r="H99" i="1"/>
  <c r="G91" i="1" s="1"/>
  <c r="G14" i="1"/>
  <c r="K14" i="1" l="1"/>
  <c r="N66" i="1"/>
  <c r="F74" i="1"/>
  <c r="E103" i="1"/>
  <c r="E106" i="1" s="1"/>
  <c r="X65" i="1"/>
  <c r="T67" i="1"/>
  <c r="J10" i="2"/>
  <c r="L7" i="2"/>
  <c r="K99" i="1"/>
  <c r="L14" i="1" l="1"/>
  <c r="F75" i="1"/>
  <c r="G74" i="1"/>
  <c r="X67" i="1"/>
  <c r="Y67" i="1" s="1"/>
  <c r="R71" i="1" s="1"/>
  <c r="L99" i="1"/>
  <c r="F103" i="1" s="1"/>
  <c r="L10" i="2"/>
  <c r="L11" i="2" s="1"/>
  <c r="D6" i="2"/>
  <c r="P4" i="2" s="1"/>
  <c r="S4" i="2" s="1"/>
  <c r="C17" i="2"/>
  <c r="C20" i="2" s="1"/>
  <c r="E35" i="1" l="1"/>
  <c r="G75" i="1"/>
  <c r="H74" i="1"/>
  <c r="R74" i="1"/>
  <c r="S71" i="1"/>
  <c r="F106" i="1"/>
  <c r="G103" i="1"/>
  <c r="G106" i="1" s="1"/>
  <c r="P5" i="2"/>
  <c r="D17" i="2"/>
  <c r="F35" i="1" l="1"/>
  <c r="I74" i="1"/>
  <c r="J74" i="1" s="1"/>
  <c r="K74" i="1" s="1"/>
  <c r="H75" i="1"/>
  <c r="H103" i="1"/>
  <c r="H106" i="1" s="1"/>
  <c r="T71" i="1"/>
  <c r="S74" i="1"/>
  <c r="S5" i="2"/>
  <c r="P6" i="2"/>
  <c r="E17" i="2"/>
  <c r="D20" i="2"/>
  <c r="G35" i="1" l="1"/>
  <c r="I103" i="1"/>
  <c r="J103" i="1" s="1"/>
  <c r="K103" i="1" s="1"/>
  <c r="T74" i="1"/>
  <c r="U71" i="1"/>
  <c r="V71" i="1" s="1"/>
  <c r="W71" i="1" s="1"/>
  <c r="S6" i="2"/>
  <c r="P7" i="2"/>
  <c r="F17" i="2"/>
  <c r="E20" i="2"/>
  <c r="P8" i="2" l="1"/>
  <c r="P9" i="2" s="1"/>
  <c r="P10" i="2" s="1"/>
  <c r="S7" i="2"/>
  <c r="F20" i="2"/>
  <c r="G17" i="2"/>
  <c r="H17" i="2" s="1"/>
  <c r="I17" i="2" s="1"/>
</calcChain>
</file>

<file path=xl/sharedStrings.xml><?xml version="1.0" encoding="utf-8"?>
<sst xmlns="http://schemas.openxmlformats.org/spreadsheetml/2006/main" count="195" uniqueCount="49">
  <si>
    <t xml:space="preserve">Affitto </t>
  </si>
  <si>
    <t>Utenze</t>
  </si>
  <si>
    <t>totale</t>
  </si>
  <si>
    <t xml:space="preserve"> cibo</t>
  </si>
  <si>
    <t>al giorno</t>
  </si>
  <si>
    <t>al mese</t>
  </si>
  <si>
    <t xml:space="preserve">a settimana </t>
  </si>
  <si>
    <t>entrate</t>
  </si>
  <si>
    <t>extra</t>
  </si>
  <si>
    <t>profitto</t>
  </si>
  <si>
    <t>uscite</t>
  </si>
  <si>
    <t>frequenza</t>
  </si>
  <si>
    <t>Vita quotidiana</t>
  </si>
  <si>
    <t>ottobre</t>
  </si>
  <si>
    <t xml:space="preserve"> novembre</t>
  </si>
  <si>
    <t>dicembre</t>
  </si>
  <si>
    <t xml:space="preserve">gennaio </t>
  </si>
  <si>
    <t>febbraio</t>
  </si>
  <si>
    <t xml:space="preserve">marzo </t>
  </si>
  <si>
    <t xml:space="preserve">aprile </t>
  </si>
  <si>
    <t>totale ricavi</t>
  </si>
  <si>
    <t>caparra schifosa</t>
  </si>
  <si>
    <t>soldi attuali</t>
  </si>
  <si>
    <t>profitto/difetto</t>
  </si>
  <si>
    <t>hobby etc.</t>
  </si>
  <si>
    <t>Start</t>
  </si>
  <si>
    <t>spostamenti</t>
  </si>
  <si>
    <t>Salvadanaio isy</t>
  </si>
  <si>
    <t>soldi trovatelli</t>
  </si>
  <si>
    <t>Somma finale</t>
  </si>
  <si>
    <t>puttanate varie</t>
  </si>
  <si>
    <t>DOMIS</t>
  </si>
  <si>
    <t>Ritinz</t>
  </si>
  <si>
    <t>affitto</t>
  </si>
  <si>
    <t>psico</t>
  </si>
  <si>
    <t>uscite settimanali</t>
  </si>
  <si>
    <t>settimana 1</t>
  </si>
  <si>
    <t>settimana 2</t>
  </si>
  <si>
    <t>settimana 4</t>
  </si>
  <si>
    <t>settimana 3</t>
  </si>
  <si>
    <t>uscite al mese senza affitto</t>
  </si>
  <si>
    <t>uscite effettive</t>
  </si>
  <si>
    <t>Ricavi effettivi fine mese</t>
  </si>
  <si>
    <t>con salvadanaio</t>
  </si>
  <si>
    <t>profitto reale</t>
  </si>
  <si>
    <t>uscite effettive+ mensiità</t>
  </si>
  <si>
    <t>inizio novembre</t>
  </si>
  <si>
    <t xml:space="preserve">profitto ipotetico </t>
  </si>
  <si>
    <t xml:space="preserve">contantdo tutto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</si>
</sst>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CD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6" borderId="0" xfId="0" applyFill="1"/>
    <xf numFmtId="0" fontId="0" fillId="2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7" borderId="0" xfId="0" applyFill="1" applyAlignment="1">
      <alignment wrapText="1"/>
    </xf>
    <xf numFmtId="0" fontId="2" fillId="7" borderId="0" xfId="0" applyFont="1" applyFill="1" applyAlignment="1">
      <alignment horizontal="left" wrapText="1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e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C0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0625">
          <bgColor rgb="FFC0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EBC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74CE-14B0-45C1-93DC-126D5BB04700}">
  <dimension ref="C2:Z106"/>
  <sheetViews>
    <sheetView tabSelected="1" topLeftCell="A5" zoomScale="101" workbookViewId="0">
      <selection activeCell="J17" sqref="J17"/>
    </sheetView>
  </sheetViews>
  <sheetFormatPr defaultRowHeight="14.4" x14ac:dyDescent="0.3"/>
  <cols>
    <col min="2" max="2" width="17.5546875" customWidth="1"/>
    <col min="3" max="3" width="15.88671875" customWidth="1"/>
    <col min="4" max="4" width="17.88671875" customWidth="1"/>
    <col min="5" max="5" width="15" customWidth="1"/>
    <col min="6" max="6" width="12.44140625" customWidth="1"/>
    <col min="7" max="7" width="13.109375" customWidth="1"/>
    <col min="8" max="8" width="17" customWidth="1"/>
    <col min="9" max="9" width="18.88671875" customWidth="1"/>
    <col min="10" max="10" width="16" customWidth="1"/>
    <col min="11" max="11" width="18" customWidth="1"/>
    <col min="12" max="12" width="18.88671875" customWidth="1"/>
    <col min="13" max="13" width="14.6640625" customWidth="1"/>
    <col min="14" max="14" width="17.6640625" customWidth="1"/>
    <col min="15" max="15" width="13.5546875" customWidth="1"/>
    <col min="16" max="16" width="10.88671875" customWidth="1"/>
  </cols>
  <sheetData>
    <row r="2" spans="3:14" x14ac:dyDescent="0.3">
      <c r="C2" t="s">
        <v>31</v>
      </c>
    </row>
    <row r="4" spans="3:14" ht="25.5" customHeight="1" x14ac:dyDescent="0.3">
      <c r="C4" s="25" t="s">
        <v>25</v>
      </c>
      <c r="D4" s="25"/>
      <c r="E4" s="25"/>
      <c r="F4" s="25"/>
      <c r="M4" t="s">
        <v>27</v>
      </c>
      <c r="N4" t="s">
        <v>28</v>
      </c>
    </row>
    <row r="5" spans="3:14" ht="22.5" customHeight="1" x14ac:dyDescent="0.3">
      <c r="C5" s="11" t="s">
        <v>22</v>
      </c>
      <c r="D5" s="11" t="s">
        <v>21</v>
      </c>
      <c r="E5" s="11" t="s">
        <v>10</v>
      </c>
      <c r="F5" s="11" t="s">
        <v>9</v>
      </c>
      <c r="G5" s="11" t="s">
        <v>9</v>
      </c>
      <c r="M5">
        <v>150</v>
      </c>
      <c r="N5">
        <v>200</v>
      </c>
    </row>
    <row r="6" spans="3:14" x14ac:dyDescent="0.3">
      <c r="C6" s="7">
        <v>1900</v>
      </c>
      <c r="D6" s="7">
        <v>860</v>
      </c>
      <c r="E6" s="7">
        <f>C6-D6</f>
        <v>1040</v>
      </c>
      <c r="F6" s="8">
        <f>E6-(G14+F14+D14+H14)</f>
        <v>545</v>
      </c>
    </row>
    <row r="8" spans="3:14" ht="26.25" customHeight="1" x14ac:dyDescent="0.3">
      <c r="C8" s="28" t="s">
        <v>12</v>
      </c>
      <c r="D8" s="28"/>
      <c r="E8" s="28"/>
      <c r="F8" s="28"/>
      <c r="G8" s="28"/>
      <c r="H8" s="28"/>
      <c r="I8" s="28"/>
      <c r="J8" s="28"/>
      <c r="K8" s="28"/>
      <c r="L8" s="28"/>
    </row>
    <row r="9" spans="3:14" ht="24" customHeight="1" x14ac:dyDescent="0.3">
      <c r="C9" s="15" t="s">
        <v>11</v>
      </c>
      <c r="D9" s="15" t="s">
        <v>3</v>
      </c>
      <c r="E9" s="15" t="s">
        <v>0</v>
      </c>
      <c r="F9" s="15" t="s">
        <v>1</v>
      </c>
      <c r="G9" s="15" t="s">
        <v>26</v>
      </c>
      <c r="H9" s="15" t="s">
        <v>30</v>
      </c>
      <c r="I9" s="15" t="s">
        <v>34</v>
      </c>
      <c r="J9" s="16" t="s">
        <v>7</v>
      </c>
      <c r="K9" s="17" t="s">
        <v>10</v>
      </c>
      <c r="L9" s="15" t="s">
        <v>23</v>
      </c>
      <c r="M9" s="15" t="s">
        <v>40</v>
      </c>
    </row>
    <row r="10" spans="3:14" x14ac:dyDescent="0.3">
      <c r="C10" s="2" t="s">
        <v>4</v>
      </c>
      <c r="D10" s="2">
        <v>8</v>
      </c>
      <c r="E10" s="2"/>
      <c r="F10" s="2"/>
      <c r="G10" s="2">
        <v>2</v>
      </c>
      <c r="H10" s="18"/>
      <c r="I10" s="19"/>
      <c r="J10" s="5"/>
      <c r="K10" s="6"/>
      <c r="L10" s="2"/>
      <c r="M10">
        <f>K12-E12-F12+K13</f>
        <v>621</v>
      </c>
    </row>
    <row r="11" spans="3:14" x14ac:dyDescent="0.3">
      <c r="C11" s="2" t="s">
        <v>6</v>
      </c>
      <c r="D11" s="2">
        <f>D10*7</f>
        <v>56</v>
      </c>
      <c r="E11" s="2"/>
      <c r="F11" s="2"/>
      <c r="G11" s="2">
        <f>G10*7</f>
        <v>14</v>
      </c>
      <c r="H11" s="18"/>
      <c r="I11" s="19">
        <v>50</v>
      </c>
      <c r="J11" s="5"/>
      <c r="K11" s="6">
        <f>G11+F11+E11+D11+H11+I11</f>
        <v>120</v>
      </c>
      <c r="L11" s="2"/>
    </row>
    <row r="12" spans="3:14" x14ac:dyDescent="0.3">
      <c r="C12" s="2" t="s">
        <v>5</v>
      </c>
      <c r="D12" s="2">
        <f>D11*4</f>
        <v>224</v>
      </c>
      <c r="E12" s="2">
        <v>430</v>
      </c>
      <c r="F12" s="2">
        <v>60</v>
      </c>
      <c r="G12" s="2">
        <f>(G11*4)</f>
        <v>56</v>
      </c>
      <c r="H12" s="18">
        <v>20</v>
      </c>
      <c r="I12" s="19">
        <f>I11*4</f>
        <v>200</v>
      </c>
      <c r="J12" s="5">
        <v>740</v>
      </c>
      <c r="K12" s="6">
        <f>G12+F12+E12+D12+H12+I12</f>
        <v>990</v>
      </c>
      <c r="L12" s="2"/>
    </row>
    <row r="13" spans="3:14" x14ac:dyDescent="0.3">
      <c r="C13" s="2" t="s">
        <v>8</v>
      </c>
      <c r="D13" s="2">
        <v>50</v>
      </c>
      <c r="E13" s="2"/>
      <c r="F13" s="2"/>
      <c r="G13" s="2">
        <f>35+6</f>
        <v>41</v>
      </c>
      <c r="H13" s="18">
        <v>30</v>
      </c>
      <c r="I13" s="19"/>
      <c r="J13" s="5">
        <v>640</v>
      </c>
      <c r="K13" s="6">
        <f>G13+F13+E13+D13+H13+I13</f>
        <v>121</v>
      </c>
      <c r="L13" s="2"/>
    </row>
    <row r="14" spans="3:14" x14ac:dyDescent="0.3">
      <c r="C14" s="2" t="s">
        <v>2</v>
      </c>
      <c r="D14" s="2">
        <f>D13+D12</f>
        <v>274</v>
      </c>
      <c r="E14" s="2">
        <f>E12</f>
        <v>430</v>
      </c>
      <c r="F14" s="2">
        <f>F12</f>
        <v>60</v>
      </c>
      <c r="G14" s="2">
        <f>G12+G13+G11</f>
        <v>111</v>
      </c>
      <c r="H14" s="18">
        <f>H13+H12</f>
        <v>50</v>
      </c>
      <c r="I14" s="19">
        <f>I13+I12</f>
        <v>200</v>
      </c>
      <c r="J14" s="12">
        <f>J12+J13</f>
        <v>1380</v>
      </c>
      <c r="K14" s="13">
        <f>G14+F14+E14+D14+H14+I14</f>
        <v>1125</v>
      </c>
      <c r="L14" s="14">
        <f>J14-K14</f>
        <v>255</v>
      </c>
    </row>
    <row r="15" spans="3:14" x14ac:dyDescent="0.3">
      <c r="F15" s="3"/>
    </row>
    <row r="16" spans="3:14" ht="22.5" customHeight="1" x14ac:dyDescent="0.3"/>
    <row r="17" spans="3:11" ht="24" customHeight="1" x14ac:dyDescent="0.3">
      <c r="C17" s="25" t="s">
        <v>46</v>
      </c>
      <c r="D17" s="25"/>
      <c r="E17" s="25"/>
      <c r="F17" s="25"/>
    </row>
    <row r="18" spans="3:11" ht="24" customHeight="1" x14ac:dyDescent="0.3">
      <c r="C18" s="11" t="s">
        <v>22</v>
      </c>
      <c r="D18" s="11" t="s">
        <v>21</v>
      </c>
      <c r="E18" s="11" t="s">
        <v>10</v>
      </c>
      <c r="F18" s="11" t="s">
        <v>47</v>
      </c>
      <c r="G18" s="11" t="s">
        <v>48</v>
      </c>
    </row>
    <row r="19" spans="3:11" x14ac:dyDescent="0.3">
      <c r="C19" s="7">
        <v>800</v>
      </c>
      <c r="D19" s="7">
        <v>0</v>
      </c>
      <c r="E19" s="7">
        <f>D14+G14+H14+I14</f>
        <v>635</v>
      </c>
      <c r="F19" s="8">
        <f>C19-(D14+G14+H14+I14)</f>
        <v>165</v>
      </c>
      <c r="K19" s="3"/>
    </row>
    <row r="21" spans="3:11" x14ac:dyDescent="0.3">
      <c r="C21" s="27" t="s">
        <v>35</v>
      </c>
      <c r="D21" s="27"/>
      <c r="E21" s="27"/>
      <c r="F21" s="27"/>
      <c r="G21" s="27"/>
      <c r="H21" s="27"/>
      <c r="I21" s="27"/>
      <c r="J21" s="27"/>
    </row>
    <row r="22" spans="3:11" x14ac:dyDescent="0.3">
      <c r="C22" s="20" t="s">
        <v>36</v>
      </c>
      <c r="D22" s="20">
        <v>187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3:11" x14ac:dyDescent="0.3">
      <c r="C23" s="20" t="s">
        <v>37</v>
      </c>
      <c r="D23" s="20">
        <v>241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</row>
    <row r="24" spans="3:11" x14ac:dyDescent="0.3">
      <c r="C24" s="20" t="s">
        <v>39</v>
      </c>
      <c r="D24" s="20">
        <v>240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</row>
    <row r="25" spans="3:11" x14ac:dyDescent="0.3">
      <c r="C25" s="20" t="s">
        <v>38</v>
      </c>
      <c r="D25" s="20">
        <v>150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</row>
    <row r="26" spans="3:11" x14ac:dyDescent="0.3">
      <c r="C26" s="20" t="s">
        <v>41</v>
      </c>
      <c r="D26">
        <f>D25+D23++D22</f>
        <v>578</v>
      </c>
    </row>
    <row r="27" spans="3:11" ht="34.799999999999997" customHeight="1" x14ac:dyDescent="0.3">
      <c r="C27" s="23" t="s">
        <v>45</v>
      </c>
      <c r="D27">
        <f>D22+D23+D25+F12+E12</f>
        <v>1068</v>
      </c>
      <c r="E27">
        <f t="shared" ref="E27:J27" si="0">E22+E23+E24+E25</f>
        <v>0</v>
      </c>
      <c r="F27">
        <f t="shared" si="0"/>
        <v>0</v>
      </c>
      <c r="G27">
        <f t="shared" si="0"/>
        <v>0</v>
      </c>
      <c r="H27">
        <f t="shared" si="0"/>
        <v>0</v>
      </c>
      <c r="I27">
        <f t="shared" si="0"/>
        <v>0</v>
      </c>
      <c r="J27">
        <f t="shared" si="0"/>
        <v>0</v>
      </c>
    </row>
    <row r="28" spans="3:11" ht="18" customHeight="1" x14ac:dyDescent="0.3">
      <c r="C28" s="24" t="s">
        <v>44</v>
      </c>
      <c r="D28" s="3">
        <f>K14-D27</f>
        <v>57</v>
      </c>
    </row>
    <row r="32" spans="3:11" x14ac:dyDescent="0.3">
      <c r="C32" s="26" t="s">
        <v>42</v>
      </c>
      <c r="D32" s="26"/>
      <c r="E32" s="26"/>
      <c r="F32" s="26"/>
      <c r="G32" s="26"/>
      <c r="H32" s="26"/>
      <c r="I32" s="26"/>
      <c r="J32" s="26"/>
    </row>
    <row r="33" spans="3:10" x14ac:dyDescent="0.3">
      <c r="C33" s="10"/>
      <c r="D33" s="10" t="s">
        <v>13</v>
      </c>
      <c r="E33" s="10" t="s">
        <v>14</v>
      </c>
      <c r="F33" s="10" t="s">
        <v>15</v>
      </c>
      <c r="G33" s="10" t="s">
        <v>16</v>
      </c>
      <c r="H33" s="10" t="s">
        <v>17</v>
      </c>
      <c r="I33" s="10" t="s">
        <v>18</v>
      </c>
      <c r="J33" s="10" t="s">
        <v>19</v>
      </c>
    </row>
    <row r="34" spans="3:10" x14ac:dyDescent="0.3">
      <c r="C34" s="4" t="s">
        <v>20</v>
      </c>
      <c r="D34" s="4">
        <f>F6-D26</f>
        <v>-33</v>
      </c>
      <c r="E34" s="4">
        <f>L14+D34-E26</f>
        <v>222</v>
      </c>
      <c r="F34" s="4">
        <f>E34+L14-F26</f>
        <v>477</v>
      </c>
      <c r="G34" s="4">
        <f>F34+L14-G26</f>
        <v>732</v>
      </c>
      <c r="H34" s="4">
        <f>G34+L14-H26</f>
        <v>987</v>
      </c>
      <c r="I34" s="4">
        <f>H34+L14-I26</f>
        <v>1242</v>
      </c>
      <c r="J34" s="4">
        <f>L14+I34-J26</f>
        <v>1497</v>
      </c>
    </row>
    <row r="35" spans="3:10" x14ac:dyDescent="0.3">
      <c r="C35" s="1" t="s">
        <v>43</v>
      </c>
      <c r="D35" s="1">
        <f>D34+M5+N5</f>
        <v>317</v>
      </c>
      <c r="E35" s="1">
        <f>E34+M5+N5</f>
        <v>572</v>
      </c>
      <c r="F35" s="1">
        <f>F34+M5+N5</f>
        <v>827</v>
      </c>
      <c r="G35" s="1">
        <f>G34+M5+N5</f>
        <v>1082</v>
      </c>
      <c r="H35" s="4"/>
      <c r="I35" s="4"/>
      <c r="J35" s="4"/>
    </row>
    <row r="36" spans="3:10" ht="15.6" customHeight="1" x14ac:dyDescent="0.3">
      <c r="C36" s="21"/>
      <c r="D36" s="22"/>
    </row>
    <row r="55" spans="4:26" x14ac:dyDescent="0.3">
      <c r="Z55" t="s">
        <v>27</v>
      </c>
    </row>
    <row r="56" spans="4:26" x14ac:dyDescent="0.3">
      <c r="P56" t="s">
        <v>32</v>
      </c>
      <c r="Z56">
        <v>0</v>
      </c>
    </row>
    <row r="57" spans="4:26" x14ac:dyDescent="0.3">
      <c r="P57" s="25" t="s">
        <v>25</v>
      </c>
      <c r="Q57" s="25"/>
      <c r="R57" s="25"/>
      <c r="S57" s="25"/>
    </row>
    <row r="58" spans="4:26" x14ac:dyDescent="0.3">
      <c r="D58" t="s">
        <v>31</v>
      </c>
      <c r="P58" s="11" t="s">
        <v>22</v>
      </c>
      <c r="Q58" s="11" t="s">
        <v>33</v>
      </c>
      <c r="R58" s="11" t="s">
        <v>10</v>
      </c>
      <c r="S58" s="11" t="s">
        <v>9</v>
      </c>
    </row>
    <row r="59" spans="4:26" x14ac:dyDescent="0.3">
      <c r="P59" s="7">
        <v>900</v>
      </c>
      <c r="Q59" s="7">
        <v>300</v>
      </c>
      <c r="R59" s="7">
        <f>P59-Q59</f>
        <v>600</v>
      </c>
      <c r="S59" s="8">
        <f>R59-(S67+Q67+U67)</f>
        <v>328</v>
      </c>
    </row>
    <row r="60" spans="4:26" x14ac:dyDescent="0.3">
      <c r="D60" s="25" t="s">
        <v>25</v>
      </c>
      <c r="E60" s="25"/>
      <c r="F60" s="25"/>
      <c r="G60" s="25"/>
      <c r="N60" t="s">
        <v>27</v>
      </c>
      <c r="O60" t="s">
        <v>28</v>
      </c>
    </row>
    <row r="61" spans="4:26" x14ac:dyDescent="0.3">
      <c r="D61" s="11" t="s">
        <v>22</v>
      </c>
      <c r="E61" s="11" t="s">
        <v>21</v>
      </c>
      <c r="F61" s="11" t="s">
        <v>10</v>
      </c>
      <c r="G61" s="11" t="s">
        <v>9</v>
      </c>
      <c r="N61">
        <v>0</v>
      </c>
      <c r="O61">
        <v>0</v>
      </c>
      <c r="P61" s="9" t="s">
        <v>12</v>
      </c>
      <c r="Q61" s="9"/>
      <c r="R61" s="9"/>
      <c r="S61" s="9"/>
      <c r="T61" s="9"/>
      <c r="U61" s="9"/>
      <c r="W61" s="9"/>
      <c r="X61" s="9"/>
      <c r="Y61" s="9"/>
    </row>
    <row r="62" spans="4:26" x14ac:dyDescent="0.3">
      <c r="D62" s="7">
        <v>900</v>
      </c>
      <c r="E62" s="7">
        <v>300</v>
      </c>
      <c r="F62" s="7">
        <f>D62-E62</f>
        <v>600</v>
      </c>
      <c r="G62" s="8">
        <f>F62-(G70+E70+I70)</f>
        <v>328</v>
      </c>
      <c r="P62" s="15" t="s">
        <v>11</v>
      </c>
      <c r="Q62" s="15" t="s">
        <v>3</v>
      </c>
      <c r="R62" s="15" t="s">
        <v>0</v>
      </c>
      <c r="S62" s="15" t="s">
        <v>1</v>
      </c>
      <c r="T62" s="15" t="s">
        <v>26</v>
      </c>
      <c r="U62" s="15" t="s">
        <v>30</v>
      </c>
      <c r="V62" s="15" t="s">
        <v>34</v>
      </c>
      <c r="W62" s="16" t="s">
        <v>7</v>
      </c>
      <c r="X62" s="17" t="s">
        <v>10</v>
      </c>
      <c r="Y62" s="15" t="s">
        <v>23</v>
      </c>
    </row>
    <row r="63" spans="4:26" x14ac:dyDescent="0.3">
      <c r="P63" s="2" t="s">
        <v>4</v>
      </c>
      <c r="Q63" s="2">
        <v>4</v>
      </c>
      <c r="R63" s="2"/>
      <c r="S63" s="2"/>
      <c r="T63" s="2">
        <v>1</v>
      </c>
      <c r="U63" s="18"/>
      <c r="V63" s="19"/>
      <c r="W63" s="5"/>
      <c r="X63" s="6"/>
      <c r="Y63" s="2"/>
    </row>
    <row r="64" spans="4:26" x14ac:dyDescent="0.3">
      <c r="D64" s="28" t="s">
        <v>12</v>
      </c>
      <c r="E64" s="28"/>
      <c r="F64" s="28"/>
      <c r="G64" s="28"/>
      <c r="H64" s="28"/>
      <c r="I64" s="28"/>
      <c r="J64" s="28"/>
      <c r="K64" s="28"/>
      <c r="L64" s="28"/>
      <c r="M64" s="28"/>
      <c r="P64" s="2" t="s">
        <v>6</v>
      </c>
      <c r="Q64" s="2">
        <f>Q63*7</f>
        <v>28</v>
      </c>
      <c r="R64" s="2"/>
      <c r="S64" s="2"/>
      <c r="T64" s="2">
        <f>T63*7</f>
        <v>7</v>
      </c>
      <c r="U64" s="18"/>
      <c r="V64" s="19">
        <v>50</v>
      </c>
      <c r="W64" s="5"/>
      <c r="X64" s="6">
        <f>W64+T64+S64+R64+Q64</f>
        <v>35</v>
      </c>
      <c r="Y64" s="2"/>
    </row>
    <row r="65" spans="4:25" x14ac:dyDescent="0.3">
      <c r="D65" s="15" t="s">
        <v>11</v>
      </c>
      <c r="E65" s="15" t="s">
        <v>3</v>
      </c>
      <c r="F65" s="15" t="s">
        <v>0</v>
      </c>
      <c r="G65" s="15" t="s">
        <v>1</v>
      </c>
      <c r="H65" s="15" t="s">
        <v>26</v>
      </c>
      <c r="I65" s="15" t="s">
        <v>30</v>
      </c>
      <c r="J65" s="15" t="s">
        <v>34</v>
      </c>
      <c r="K65" s="16" t="s">
        <v>7</v>
      </c>
      <c r="L65" s="17" t="s">
        <v>10</v>
      </c>
      <c r="M65" s="15" t="s">
        <v>23</v>
      </c>
      <c r="N65" s="15" t="s">
        <v>40</v>
      </c>
      <c r="P65" s="2" t="s">
        <v>5</v>
      </c>
      <c r="Q65" s="2">
        <f>Q64*4</f>
        <v>112</v>
      </c>
      <c r="R65" s="2">
        <v>300</v>
      </c>
      <c r="S65" s="2">
        <v>60</v>
      </c>
      <c r="T65" s="2">
        <f>(T64*4)</f>
        <v>28</v>
      </c>
      <c r="U65" s="18">
        <v>20</v>
      </c>
      <c r="V65" s="19">
        <f>V64*4</f>
        <v>200</v>
      </c>
      <c r="W65" s="5">
        <v>540</v>
      </c>
      <c r="X65" s="6">
        <f>T65+S65+R65+Q65</f>
        <v>500</v>
      </c>
      <c r="Y65" s="2"/>
    </row>
    <row r="66" spans="4:25" x14ac:dyDescent="0.3">
      <c r="D66" s="2" t="s">
        <v>4</v>
      </c>
      <c r="E66" s="2">
        <v>4</v>
      </c>
      <c r="F66" s="2"/>
      <c r="G66" s="2"/>
      <c r="H66" s="2">
        <v>1</v>
      </c>
      <c r="I66" s="18"/>
      <c r="J66" s="19"/>
      <c r="K66" s="5"/>
      <c r="L66" s="6"/>
      <c r="M66" s="2"/>
      <c r="N66">
        <f>L68-F68-G68+L69</f>
        <v>441</v>
      </c>
      <c r="P66" s="2" t="s">
        <v>8</v>
      </c>
      <c r="Q66" s="2">
        <v>50</v>
      </c>
      <c r="R66" s="2"/>
      <c r="S66" s="2"/>
      <c r="T66" s="2">
        <f>35</f>
        <v>35</v>
      </c>
      <c r="U66" s="18">
        <v>30</v>
      </c>
      <c r="V66" s="19"/>
      <c r="W66" s="5">
        <v>300</v>
      </c>
      <c r="X66" s="6">
        <f>T66+S66+R66+Q66</f>
        <v>85</v>
      </c>
      <c r="Y66" s="2"/>
    </row>
    <row r="67" spans="4:25" x14ac:dyDescent="0.3">
      <c r="D67" s="2" t="s">
        <v>6</v>
      </c>
      <c r="E67" s="2">
        <f>E66*7</f>
        <v>28</v>
      </c>
      <c r="F67" s="2"/>
      <c r="G67" s="2"/>
      <c r="H67" s="2">
        <f>H66*7</f>
        <v>7</v>
      </c>
      <c r="I67" s="18"/>
      <c r="J67" s="19">
        <v>40</v>
      </c>
      <c r="K67" s="5"/>
      <c r="L67" s="6">
        <f>H67+G67+F67+E67+I67+J67</f>
        <v>75</v>
      </c>
      <c r="M67" s="2"/>
      <c r="P67" s="2" t="s">
        <v>2</v>
      </c>
      <c r="Q67" s="2">
        <f>Q66+Q65</f>
        <v>162</v>
      </c>
      <c r="R67" s="2">
        <f>R65</f>
        <v>300</v>
      </c>
      <c r="S67" s="2">
        <f>S65</f>
        <v>60</v>
      </c>
      <c r="T67" s="2">
        <f>T65+T66+T64</f>
        <v>70</v>
      </c>
      <c r="U67" s="18">
        <f>U66+U65</f>
        <v>50</v>
      </c>
      <c r="V67" s="19">
        <f>V66+V65</f>
        <v>200</v>
      </c>
      <c r="W67" s="12">
        <f>W65+W66</f>
        <v>840</v>
      </c>
      <c r="X67" s="13">
        <f>T67+S67+R67+Q67+U67</f>
        <v>642</v>
      </c>
      <c r="Y67" s="14">
        <f>W67-X67</f>
        <v>198</v>
      </c>
    </row>
    <row r="68" spans="4:25" x14ac:dyDescent="0.3">
      <c r="D68" s="2" t="s">
        <v>5</v>
      </c>
      <c r="E68" s="2">
        <f>E67*4</f>
        <v>112</v>
      </c>
      <c r="F68" s="2">
        <v>300</v>
      </c>
      <c r="G68" s="2">
        <v>60</v>
      </c>
      <c r="H68" s="2">
        <f>(H67*4)</f>
        <v>28</v>
      </c>
      <c r="I68" s="18">
        <v>20</v>
      </c>
      <c r="J68" s="19">
        <f>J67*4</f>
        <v>160</v>
      </c>
      <c r="K68" s="5">
        <v>540</v>
      </c>
      <c r="L68" s="6">
        <f>H68+G68+F68+E68+I68+J68</f>
        <v>680</v>
      </c>
      <c r="M68" s="2"/>
    </row>
    <row r="69" spans="4:25" x14ac:dyDescent="0.3">
      <c r="D69" s="2" t="s">
        <v>8</v>
      </c>
      <c r="E69" s="2">
        <v>50</v>
      </c>
      <c r="F69" s="2"/>
      <c r="G69" s="2"/>
      <c r="H69" s="2">
        <f>35+6</f>
        <v>41</v>
      </c>
      <c r="I69" s="18">
        <v>30</v>
      </c>
      <c r="J69" s="19"/>
      <c r="K69" s="5">
        <v>300</v>
      </c>
      <c r="L69" s="6">
        <f>H69+G69+F69+E69+I69+J69</f>
        <v>121</v>
      </c>
      <c r="M69" s="2"/>
      <c r="P69" s="10" t="s">
        <v>24</v>
      </c>
      <c r="Q69" s="10"/>
      <c r="R69" s="10"/>
      <c r="S69" s="10"/>
      <c r="T69" s="10"/>
      <c r="U69" s="10"/>
      <c r="V69" s="10"/>
      <c r="W69" s="10"/>
    </row>
    <row r="70" spans="4:25" x14ac:dyDescent="0.3">
      <c r="D70" s="2" t="s">
        <v>2</v>
      </c>
      <c r="E70" s="2">
        <f>E69+E68</f>
        <v>162</v>
      </c>
      <c r="F70" s="2">
        <f>F68</f>
        <v>300</v>
      </c>
      <c r="G70" s="2">
        <f>G68</f>
        <v>60</v>
      </c>
      <c r="H70" s="2">
        <f>H68+H69+H67</f>
        <v>76</v>
      </c>
      <c r="I70" s="18">
        <f>I69+I68</f>
        <v>50</v>
      </c>
      <c r="J70" s="19">
        <f>J69+J68</f>
        <v>160</v>
      </c>
      <c r="K70" s="12">
        <f>K68+K69</f>
        <v>840</v>
      </c>
      <c r="L70" s="13">
        <f>H70+G70+F70+E70+I70+J70</f>
        <v>808</v>
      </c>
      <c r="M70" s="14">
        <f>K70-L70</f>
        <v>32</v>
      </c>
      <c r="P70" s="10"/>
      <c r="Q70" s="10" t="s">
        <v>13</v>
      </c>
      <c r="R70" s="10" t="s">
        <v>14</v>
      </c>
      <c r="S70" s="10" t="s">
        <v>15</v>
      </c>
      <c r="T70" s="10" t="s">
        <v>16</v>
      </c>
      <c r="U70" s="10" t="s">
        <v>17</v>
      </c>
      <c r="V70" s="10" t="s">
        <v>18</v>
      </c>
      <c r="W70" s="10" t="s">
        <v>19</v>
      </c>
    </row>
    <row r="71" spans="4:25" x14ac:dyDescent="0.3">
      <c r="P71" s="4" t="s">
        <v>20</v>
      </c>
      <c r="Q71" s="4">
        <f>S59</f>
        <v>328</v>
      </c>
      <c r="R71" s="4">
        <f>Y67+Q71</f>
        <v>526</v>
      </c>
      <c r="S71" s="4">
        <f>R71+Y67</f>
        <v>724</v>
      </c>
      <c r="T71" s="4">
        <f>S71+Y67</f>
        <v>922</v>
      </c>
      <c r="U71" s="4">
        <f>T71+Y67</f>
        <v>1120</v>
      </c>
      <c r="V71" s="4">
        <f>U71+Y67</f>
        <v>1318</v>
      </c>
      <c r="W71" s="4">
        <f>Y67+V71</f>
        <v>1516</v>
      </c>
    </row>
    <row r="72" spans="4:25" x14ac:dyDescent="0.3">
      <c r="D72" s="26" t="s">
        <v>24</v>
      </c>
      <c r="E72" s="26"/>
      <c r="F72" s="26"/>
      <c r="G72" s="26"/>
      <c r="H72" s="26"/>
      <c r="I72" s="26"/>
      <c r="J72" s="26"/>
      <c r="K72" s="26"/>
    </row>
    <row r="73" spans="4:25" x14ac:dyDescent="0.3">
      <c r="D73" s="10"/>
      <c r="E73" s="10" t="s">
        <v>13</v>
      </c>
      <c r="F73" s="10" t="s">
        <v>14</v>
      </c>
      <c r="G73" s="10" t="s">
        <v>15</v>
      </c>
      <c r="H73" s="10" t="s">
        <v>16</v>
      </c>
      <c r="I73" s="10" t="s">
        <v>17</v>
      </c>
      <c r="J73" s="10" t="s">
        <v>18</v>
      </c>
      <c r="K73" s="10" t="s">
        <v>19</v>
      </c>
    </row>
    <row r="74" spans="4:25" x14ac:dyDescent="0.3">
      <c r="D74" s="4" t="s">
        <v>20</v>
      </c>
      <c r="E74" s="4">
        <f>G62</f>
        <v>328</v>
      </c>
      <c r="F74" s="4">
        <f>M70+E74</f>
        <v>360</v>
      </c>
      <c r="G74" s="4">
        <f>F74+M70</f>
        <v>392</v>
      </c>
      <c r="H74" s="4">
        <f>G74+M70</f>
        <v>424</v>
      </c>
      <c r="I74" s="4">
        <f>H74+M70</f>
        <v>456</v>
      </c>
      <c r="J74" s="4">
        <f>I74+M70</f>
        <v>488</v>
      </c>
      <c r="K74" s="4">
        <f>M70+J74</f>
        <v>520</v>
      </c>
      <c r="P74" t="s">
        <v>29</v>
      </c>
      <c r="Q74">
        <f>Q71+Z56+N26</f>
        <v>328</v>
      </c>
      <c r="R74">
        <f>R71+Z56+N26</f>
        <v>526</v>
      </c>
      <c r="S74">
        <f>S71+Z56+N26</f>
        <v>724</v>
      </c>
      <c r="T74">
        <f>T71+Z56+N26</f>
        <v>922</v>
      </c>
    </row>
    <row r="75" spans="4:25" x14ac:dyDescent="0.3">
      <c r="D75" s="1" t="s">
        <v>29</v>
      </c>
      <c r="E75" s="1">
        <f>E74+N61+O61</f>
        <v>328</v>
      </c>
      <c r="F75" s="1">
        <f>F74+N61+O61</f>
        <v>360</v>
      </c>
      <c r="G75" s="1">
        <f>G74+N61+O61</f>
        <v>392</v>
      </c>
      <c r="H75" s="1">
        <f>H74+N61+O61</f>
        <v>424</v>
      </c>
      <c r="L75" s="3"/>
    </row>
    <row r="76" spans="4:25" x14ac:dyDescent="0.3">
      <c r="D76" s="27" t="s">
        <v>35</v>
      </c>
      <c r="E76" s="27"/>
      <c r="F76" s="27"/>
      <c r="G76" s="27"/>
      <c r="H76" s="27"/>
      <c r="I76" s="27"/>
      <c r="J76" s="27"/>
      <c r="K76" s="27"/>
    </row>
    <row r="77" spans="4:25" x14ac:dyDescent="0.3">
      <c r="D77" s="20" t="s">
        <v>36</v>
      </c>
      <c r="E77" s="20">
        <v>187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</row>
    <row r="78" spans="4:25" x14ac:dyDescent="0.3">
      <c r="D78" s="20" t="s">
        <v>37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</row>
    <row r="79" spans="4:25" x14ac:dyDescent="0.3">
      <c r="D79" s="20" t="s">
        <v>39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</row>
    <row r="80" spans="4:25" x14ac:dyDescent="0.3">
      <c r="D80" s="20" t="s">
        <v>38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</row>
    <row r="89" spans="4:12" x14ac:dyDescent="0.3">
      <c r="D89" s="11" t="s">
        <v>25</v>
      </c>
      <c r="E89" s="11"/>
      <c r="F89" s="11"/>
      <c r="G89" s="11"/>
    </row>
    <row r="90" spans="4:12" x14ac:dyDescent="0.3">
      <c r="D90" s="11" t="s">
        <v>22</v>
      </c>
      <c r="E90" s="11" t="s">
        <v>21</v>
      </c>
      <c r="F90" s="11" t="s">
        <v>10</v>
      </c>
      <c r="G90" s="11" t="s">
        <v>9</v>
      </c>
    </row>
    <row r="91" spans="4:12" x14ac:dyDescent="0.3">
      <c r="D91" s="7">
        <v>640</v>
      </c>
      <c r="E91" s="7">
        <v>345</v>
      </c>
      <c r="F91" s="7">
        <f>D91-E91</f>
        <v>295</v>
      </c>
      <c r="G91" s="8">
        <f>F91-(H99+E99+I99)</f>
        <v>-1</v>
      </c>
    </row>
    <row r="93" spans="4:12" x14ac:dyDescent="0.3">
      <c r="D93" s="9" t="s">
        <v>12</v>
      </c>
      <c r="E93" s="9"/>
      <c r="F93" s="9"/>
      <c r="G93" s="9"/>
      <c r="H93" s="9"/>
      <c r="I93" s="9"/>
      <c r="J93" s="9"/>
      <c r="K93" s="9"/>
      <c r="L93" s="9"/>
    </row>
    <row r="94" spans="4:12" x14ac:dyDescent="0.3">
      <c r="D94" s="15" t="s">
        <v>11</v>
      </c>
      <c r="E94" s="15" t="s">
        <v>3</v>
      </c>
      <c r="F94" s="15" t="s">
        <v>0</v>
      </c>
      <c r="G94" s="15" t="s">
        <v>1</v>
      </c>
      <c r="H94" s="15" t="s">
        <v>26</v>
      </c>
      <c r="I94" s="15" t="s">
        <v>30</v>
      </c>
      <c r="J94" s="16" t="s">
        <v>7</v>
      </c>
      <c r="K94" s="17" t="s">
        <v>10</v>
      </c>
      <c r="L94" s="15" t="s">
        <v>23</v>
      </c>
    </row>
    <row r="95" spans="4:12" x14ac:dyDescent="0.3">
      <c r="D95" s="2" t="s">
        <v>4</v>
      </c>
      <c r="E95" s="2">
        <v>7</v>
      </c>
      <c r="F95" s="2"/>
      <c r="G95" s="2"/>
      <c r="H95" s="2">
        <v>0</v>
      </c>
      <c r="I95" s="18"/>
      <c r="J95" s="5"/>
      <c r="K95" s="6"/>
      <c r="L95" s="2"/>
    </row>
    <row r="96" spans="4:12" x14ac:dyDescent="0.3">
      <c r="D96" s="2" t="s">
        <v>6</v>
      </c>
      <c r="E96" s="2">
        <f>E95*7</f>
        <v>49</v>
      </c>
      <c r="F96" s="2"/>
      <c r="G96" s="2"/>
      <c r="H96" s="2">
        <f>H95*7</f>
        <v>0</v>
      </c>
      <c r="I96" s="18"/>
      <c r="J96" s="5"/>
      <c r="K96" s="6">
        <f>J96+H96+G96+F96+E96</f>
        <v>49</v>
      </c>
      <c r="L96" s="2"/>
    </row>
    <row r="97" spans="4:12" x14ac:dyDescent="0.3">
      <c r="D97" s="2" t="s">
        <v>5</v>
      </c>
      <c r="E97" s="2">
        <f>E96*4</f>
        <v>196</v>
      </c>
      <c r="F97" s="2">
        <v>250</v>
      </c>
      <c r="G97" s="2">
        <v>80</v>
      </c>
      <c r="H97" s="2">
        <f>(H96*4)</f>
        <v>0</v>
      </c>
      <c r="I97" s="18">
        <v>20</v>
      </c>
      <c r="J97" s="5"/>
      <c r="K97" s="6">
        <f>H97+G97+F97+E97</f>
        <v>526</v>
      </c>
      <c r="L97" s="2"/>
    </row>
    <row r="98" spans="4:12" x14ac:dyDescent="0.3">
      <c r="D98" s="2" t="s">
        <v>8</v>
      </c>
      <c r="E98" s="2">
        <v>50</v>
      </c>
      <c r="F98" s="2"/>
      <c r="G98" s="2"/>
      <c r="H98" s="2">
        <v>0</v>
      </c>
      <c r="I98" s="18">
        <v>30</v>
      </c>
      <c r="J98" s="5">
        <v>640</v>
      </c>
      <c r="K98" s="6">
        <f>H98+G98+F98+E98</f>
        <v>50</v>
      </c>
      <c r="L98" s="2"/>
    </row>
    <row r="99" spans="4:12" x14ac:dyDescent="0.3">
      <c r="D99" s="2" t="s">
        <v>2</v>
      </c>
      <c r="E99" s="2">
        <f>E98+E97</f>
        <v>246</v>
      </c>
      <c r="F99" s="2">
        <f>F97</f>
        <v>250</v>
      </c>
      <c r="G99" s="2">
        <f>G97</f>
        <v>80</v>
      </c>
      <c r="H99" s="2">
        <f>H97+H98+H96</f>
        <v>0</v>
      </c>
      <c r="I99" s="18">
        <f>I98+I97</f>
        <v>50</v>
      </c>
      <c r="J99" s="12">
        <f>J97+J98</f>
        <v>640</v>
      </c>
      <c r="K99" s="13">
        <f>H99+G99+F99+E99+I99</f>
        <v>626</v>
      </c>
      <c r="L99" s="14">
        <f>J99-K99</f>
        <v>14</v>
      </c>
    </row>
    <row r="101" spans="4:12" x14ac:dyDescent="0.3">
      <c r="D101" s="10" t="s">
        <v>24</v>
      </c>
      <c r="E101" s="10"/>
      <c r="F101" s="10"/>
      <c r="G101" s="10"/>
      <c r="H101" s="10"/>
      <c r="I101" s="10"/>
      <c r="J101" s="10"/>
      <c r="K101" s="10"/>
    </row>
    <row r="102" spans="4:12" x14ac:dyDescent="0.3">
      <c r="D102" s="10"/>
      <c r="E102" s="10" t="s">
        <v>13</v>
      </c>
      <c r="F102" s="10" t="s">
        <v>14</v>
      </c>
      <c r="G102" s="10" t="s">
        <v>15</v>
      </c>
      <c r="H102" s="10" t="s">
        <v>16</v>
      </c>
      <c r="I102" s="10" t="s">
        <v>17</v>
      </c>
      <c r="J102" s="10" t="s">
        <v>18</v>
      </c>
      <c r="K102" s="10" t="s">
        <v>19</v>
      </c>
    </row>
    <row r="103" spans="4:12" x14ac:dyDescent="0.3">
      <c r="D103" s="4" t="s">
        <v>20</v>
      </c>
      <c r="E103" s="4">
        <f>G91</f>
        <v>-1</v>
      </c>
      <c r="F103" s="4">
        <f>L99+E103</f>
        <v>13</v>
      </c>
      <c r="G103" s="4">
        <f>F103+L99</f>
        <v>27</v>
      </c>
      <c r="H103" s="4">
        <f>G103+L99</f>
        <v>41</v>
      </c>
      <c r="I103" s="4">
        <f>H103+L99</f>
        <v>55</v>
      </c>
      <c r="J103" s="4">
        <f>I103+L99</f>
        <v>69</v>
      </c>
      <c r="K103" s="4">
        <f>L99+J103</f>
        <v>83</v>
      </c>
    </row>
    <row r="106" spans="4:12" x14ac:dyDescent="0.3">
      <c r="D106" t="s">
        <v>29</v>
      </c>
      <c r="E106" t="e">
        <f>E103+#REF!+O70</f>
        <v>#REF!</v>
      </c>
      <c r="F106" t="e">
        <f>F103+#REF!+O70</f>
        <v>#REF!</v>
      </c>
      <c r="G106" t="e">
        <f>G103+#REF!+O70</f>
        <v>#REF!</v>
      </c>
      <c r="H106" t="e">
        <f>H103+#REF!+O70</f>
        <v>#REF!</v>
      </c>
    </row>
  </sheetData>
  <mergeCells count="10">
    <mergeCell ref="P57:S57"/>
    <mergeCell ref="D72:K72"/>
    <mergeCell ref="D76:K76"/>
    <mergeCell ref="C4:F4"/>
    <mergeCell ref="C32:J32"/>
    <mergeCell ref="C8:L8"/>
    <mergeCell ref="D60:G60"/>
    <mergeCell ref="D64:M64"/>
    <mergeCell ref="C21:J21"/>
    <mergeCell ref="C17:F17"/>
  </mergeCells>
  <conditionalFormatting sqref="D22:J25">
    <cfRule type="expression" dxfId="29" priority="15">
      <formula>D22&lt;$K$11</formula>
    </cfRule>
    <cfRule type="expression" dxfId="28" priority="16">
      <formula>D22&gt;$K$11</formula>
    </cfRule>
  </conditionalFormatting>
  <conditionalFormatting sqref="D27:J27">
    <cfRule type="cellIs" dxfId="27" priority="5" operator="greaterThan">
      <formula>$K$14</formula>
    </cfRule>
    <cfRule type="cellIs" dxfId="26" priority="6" operator="lessThan">
      <formula>$K$14</formula>
    </cfRule>
  </conditionalFormatting>
  <conditionalFormatting sqref="D34:J34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E77:K80">
    <cfRule type="expression" dxfId="23" priority="9">
      <formula>E77&lt;$K$11</formula>
    </cfRule>
    <cfRule type="expression" dxfId="22" priority="10">
      <formula>E77&gt;$K$11</formula>
    </cfRule>
  </conditionalFormatting>
  <conditionalFormatting sqref="F6">
    <cfRule type="cellIs" dxfId="21" priority="50" operator="lessThan">
      <formula>0</formula>
    </cfRule>
    <cfRule type="cellIs" dxfId="20" priority="51" operator="greaterThan">
      <formula>0</formula>
    </cfRule>
  </conditionalFormatting>
  <conditionalFormatting sqref="G62">
    <cfRule type="cellIs" dxfId="19" priority="7" operator="lessThan">
      <formula>0</formula>
    </cfRule>
    <cfRule type="cellIs" dxfId="18" priority="8" operator="greaterThan">
      <formula>0</formula>
    </cfRule>
  </conditionalFormatting>
  <conditionalFormatting sqref="G91">
    <cfRule type="cellIs" dxfId="17" priority="46" operator="lessThan">
      <formula>0</formula>
    </cfRule>
    <cfRule type="cellIs" dxfId="16" priority="47" operator="greaterThan">
      <formula>0</formula>
    </cfRule>
  </conditionalFormatting>
  <conditionalFormatting sqref="L14">
    <cfRule type="cellIs" dxfId="15" priority="52" operator="lessThan">
      <formula>0</formula>
    </cfRule>
    <cfRule type="cellIs" dxfId="14" priority="53" operator="greaterThan">
      <formula>0</formula>
    </cfRule>
  </conditionalFormatting>
  <conditionalFormatting sqref="L99">
    <cfRule type="cellIs" dxfId="13" priority="48" operator="lessThan">
      <formula>0</formula>
    </cfRule>
    <cfRule type="cellIs" dxfId="12" priority="49" operator="greaterThan">
      <formula>0</formula>
    </cfRule>
  </conditionalFormatting>
  <conditionalFormatting sqref="M70">
    <cfRule type="cellIs" dxfId="11" priority="13" operator="lessThan">
      <formula>0</formula>
    </cfRule>
    <cfRule type="cellIs" dxfId="10" priority="14" operator="greaterThan">
      <formula>0</formula>
    </cfRule>
  </conditionalFormatting>
  <conditionalFormatting sqref="S59">
    <cfRule type="cellIs" dxfId="9" priority="42" operator="lessThan">
      <formula>0</formula>
    </cfRule>
    <cfRule type="cellIs" dxfId="8" priority="43" operator="greaterThan">
      <formula>0</formula>
    </cfRule>
  </conditionalFormatting>
  <conditionalFormatting sqref="Y67">
    <cfRule type="cellIs" dxfId="7" priority="44" operator="lessThan">
      <formula>0</formula>
    </cfRule>
    <cfRule type="cellIs" dxfId="6" priority="45" operator="greaterThan">
      <formula>0</formula>
    </cfRule>
  </conditionalFormatting>
  <conditionalFormatting sqref="F1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CAA9-8A45-4957-BEC7-91B2E57D47C9}">
  <dimension ref="B3:S20"/>
  <sheetViews>
    <sheetView workbookViewId="0">
      <selection activeCell="P5" sqref="P5:P10"/>
    </sheetView>
  </sheetViews>
  <sheetFormatPr defaultRowHeight="14.4" x14ac:dyDescent="0.3"/>
  <sheetData>
    <row r="3" spans="2:19" x14ac:dyDescent="0.3">
      <c r="B3" s="25" t="s">
        <v>25</v>
      </c>
      <c r="C3" s="11" t="s">
        <v>22</v>
      </c>
      <c r="D3" s="7">
        <v>1405</v>
      </c>
      <c r="F3" s="28" t="s">
        <v>12</v>
      </c>
      <c r="G3" s="15" t="s">
        <v>11</v>
      </c>
      <c r="H3" s="2" t="s">
        <v>4</v>
      </c>
      <c r="I3" s="2" t="s">
        <v>6</v>
      </c>
      <c r="J3" s="2" t="s">
        <v>5</v>
      </c>
      <c r="K3" s="2" t="s">
        <v>8</v>
      </c>
      <c r="L3" s="2" t="s">
        <v>2</v>
      </c>
      <c r="N3" s="26" t="s">
        <v>24</v>
      </c>
      <c r="O3" s="10"/>
      <c r="P3" s="4" t="s">
        <v>20</v>
      </c>
      <c r="S3" t="s">
        <v>29</v>
      </c>
    </row>
    <row r="4" spans="2:19" x14ac:dyDescent="0.3">
      <c r="B4" s="25"/>
      <c r="C4" s="11" t="s">
        <v>21</v>
      </c>
      <c r="D4" s="7">
        <v>860</v>
      </c>
      <c r="F4" s="28"/>
      <c r="G4" s="15" t="s">
        <v>3</v>
      </c>
      <c r="H4" s="2">
        <v>10</v>
      </c>
      <c r="I4" s="2">
        <f>H4*7</f>
        <v>70</v>
      </c>
      <c r="J4" s="2">
        <f>I4*4</f>
        <v>280</v>
      </c>
      <c r="K4" s="2">
        <v>50</v>
      </c>
      <c r="L4" s="2">
        <f>K4+J4</f>
        <v>330</v>
      </c>
      <c r="N4" s="26"/>
      <c r="O4" s="10" t="s">
        <v>13</v>
      </c>
      <c r="P4" s="4">
        <f>D6</f>
        <v>-6</v>
      </c>
      <c r="S4">
        <f>P4+C13+C14</f>
        <v>334</v>
      </c>
    </row>
    <row r="5" spans="2:19" x14ac:dyDescent="0.3">
      <c r="B5" s="25"/>
      <c r="C5" s="11" t="s">
        <v>10</v>
      </c>
      <c r="D5" s="7">
        <f>D3-D4</f>
        <v>545</v>
      </c>
      <c r="F5" s="28"/>
      <c r="G5" s="15" t="s">
        <v>0</v>
      </c>
      <c r="H5" s="2"/>
      <c r="I5" s="2"/>
      <c r="J5" s="2">
        <v>430</v>
      </c>
      <c r="K5" s="2"/>
      <c r="L5" s="2">
        <f>J5</f>
        <v>430</v>
      </c>
      <c r="N5" s="26"/>
      <c r="O5" s="10" t="s">
        <v>14</v>
      </c>
      <c r="P5" s="4">
        <f>L11+P4</f>
        <v>393</v>
      </c>
      <c r="S5">
        <f>P5+C13+C14</f>
        <v>733</v>
      </c>
    </row>
    <row r="6" spans="2:19" x14ac:dyDescent="0.3">
      <c r="B6" s="25"/>
      <c r="C6" s="11" t="s">
        <v>9</v>
      </c>
      <c r="D6" s="8">
        <f>D5-(L7+L6+L4+L8)</f>
        <v>-6</v>
      </c>
      <c r="F6" s="28"/>
      <c r="G6" s="15" t="s">
        <v>1</v>
      </c>
      <c r="H6" s="2"/>
      <c r="I6" s="2"/>
      <c r="J6" s="2">
        <v>60</v>
      </c>
      <c r="K6" s="2"/>
      <c r="L6" s="2">
        <f>J6</f>
        <v>60</v>
      </c>
      <c r="N6" s="26"/>
      <c r="O6" s="10" t="s">
        <v>15</v>
      </c>
      <c r="P6" s="4">
        <f>P5+L11</f>
        <v>792</v>
      </c>
      <c r="S6">
        <f>P6+C13+C14</f>
        <v>1132</v>
      </c>
    </row>
    <row r="7" spans="2:19" x14ac:dyDescent="0.3">
      <c r="F7" s="28"/>
      <c r="G7" s="15" t="s">
        <v>26</v>
      </c>
      <c r="H7" s="2">
        <v>2</v>
      </c>
      <c r="I7" s="2">
        <f>H7*7</f>
        <v>14</v>
      </c>
      <c r="J7" s="2">
        <f>(I7*4)</f>
        <v>56</v>
      </c>
      <c r="K7" s="2">
        <f>35+6</f>
        <v>41</v>
      </c>
      <c r="L7" s="2">
        <f>J7+K7+I7</f>
        <v>111</v>
      </c>
      <c r="N7" s="26"/>
      <c r="O7" s="10" t="s">
        <v>16</v>
      </c>
      <c r="P7" s="4">
        <f>P6+L11</f>
        <v>1191</v>
      </c>
      <c r="S7">
        <f>P7+C13+C14</f>
        <v>1531</v>
      </c>
    </row>
    <row r="8" spans="2:19" x14ac:dyDescent="0.3">
      <c r="F8" s="28"/>
      <c r="G8" s="15" t="s">
        <v>30</v>
      </c>
      <c r="H8" s="18"/>
      <c r="I8" s="18"/>
      <c r="J8" s="18">
        <v>20</v>
      </c>
      <c r="K8" s="18">
        <v>30</v>
      </c>
      <c r="L8" s="18">
        <f>K8+J8</f>
        <v>50</v>
      </c>
      <c r="N8" s="26"/>
      <c r="O8" s="10" t="s">
        <v>17</v>
      </c>
      <c r="P8" s="4">
        <f>P7+L11</f>
        <v>1590</v>
      </c>
    </row>
    <row r="9" spans="2:19" x14ac:dyDescent="0.3">
      <c r="F9" s="28"/>
      <c r="G9" s="16" t="s">
        <v>7</v>
      </c>
      <c r="H9" s="5"/>
      <c r="I9" s="5"/>
      <c r="J9" s="5">
        <v>740</v>
      </c>
      <c r="K9" s="5">
        <v>640</v>
      </c>
      <c r="L9" s="12">
        <f>J9+K9</f>
        <v>1380</v>
      </c>
      <c r="N9" s="26"/>
      <c r="O9" s="10" t="s">
        <v>18</v>
      </c>
      <c r="P9" s="4">
        <f>P8+L11</f>
        <v>1989</v>
      </c>
    </row>
    <row r="10" spans="2:19" x14ac:dyDescent="0.3">
      <c r="F10" s="28"/>
      <c r="G10" s="17" t="s">
        <v>10</v>
      </c>
      <c r="H10" s="6"/>
      <c r="I10" s="6">
        <f>I9+I7+I6+I5+I4</f>
        <v>84</v>
      </c>
      <c r="J10" s="6">
        <f>J7+J6+J5+J4</f>
        <v>826</v>
      </c>
      <c r="K10" s="6">
        <f>K7+K6+K5+K4</f>
        <v>91</v>
      </c>
      <c r="L10" s="13">
        <f>L7+L6+L5+L4+L8</f>
        <v>981</v>
      </c>
      <c r="N10" s="26"/>
      <c r="O10" s="10" t="s">
        <v>19</v>
      </c>
      <c r="P10" s="4">
        <f>L11+P9</f>
        <v>2388</v>
      </c>
    </row>
    <row r="11" spans="2:19" x14ac:dyDescent="0.3">
      <c r="F11" s="28"/>
      <c r="G11" s="15" t="s">
        <v>23</v>
      </c>
      <c r="H11" s="2"/>
      <c r="I11" s="2"/>
      <c r="J11" s="2"/>
      <c r="K11" s="2"/>
      <c r="L11" s="14">
        <f>L9-L10</f>
        <v>399</v>
      </c>
    </row>
    <row r="13" spans="2:19" x14ac:dyDescent="0.3">
      <c r="B13" t="s">
        <v>27</v>
      </c>
      <c r="C13">
        <v>140</v>
      </c>
    </row>
    <row r="14" spans="2:19" x14ac:dyDescent="0.3">
      <c r="B14" t="s">
        <v>28</v>
      </c>
      <c r="C14">
        <v>200</v>
      </c>
    </row>
    <row r="15" spans="2:19" x14ac:dyDescent="0.3">
      <c r="B15" s="26" t="s">
        <v>24</v>
      </c>
      <c r="C15" s="26"/>
      <c r="D15" s="26"/>
      <c r="E15" s="26"/>
      <c r="F15" s="26"/>
      <c r="G15" s="26"/>
      <c r="H15" s="26"/>
      <c r="I15" s="26"/>
    </row>
    <row r="16" spans="2:19" x14ac:dyDescent="0.3">
      <c r="B16" s="10"/>
      <c r="C16" s="10" t="s">
        <v>13</v>
      </c>
      <c r="D16" s="10" t="s">
        <v>14</v>
      </c>
      <c r="E16" s="10" t="s">
        <v>15</v>
      </c>
      <c r="F16" s="10" t="s">
        <v>16</v>
      </c>
      <c r="G16" s="10" t="s">
        <v>17</v>
      </c>
      <c r="H16" s="10" t="s">
        <v>18</v>
      </c>
      <c r="I16" s="10" t="s">
        <v>19</v>
      </c>
    </row>
    <row r="17" spans="2:9" x14ac:dyDescent="0.3">
      <c r="B17" s="4" t="s">
        <v>20</v>
      </c>
      <c r="C17" s="4">
        <f>E5</f>
        <v>0</v>
      </c>
      <c r="D17" s="4">
        <f>J13+C17</f>
        <v>0</v>
      </c>
      <c r="E17" s="4">
        <f>D17+J13</f>
        <v>0</v>
      </c>
      <c r="F17" s="4">
        <f>E17+J13</f>
        <v>0</v>
      </c>
      <c r="G17" s="4">
        <f>F17+J13</f>
        <v>0</v>
      </c>
      <c r="H17" s="4">
        <f>G17+J13</f>
        <v>0</v>
      </c>
      <c r="I17" s="4">
        <f>J13+H17</f>
        <v>0</v>
      </c>
    </row>
    <row r="20" spans="2:9" x14ac:dyDescent="0.3">
      <c r="B20" t="s">
        <v>29</v>
      </c>
      <c r="C20">
        <f>C17+L4+M4</f>
        <v>330</v>
      </c>
      <c r="D20">
        <f>D17+L4+M4</f>
        <v>330</v>
      </c>
      <c r="E20">
        <f>E17+L4+M4</f>
        <v>330</v>
      </c>
      <c r="F20">
        <f>F17+L4+M4</f>
        <v>330</v>
      </c>
    </row>
  </sheetData>
  <mergeCells count="4">
    <mergeCell ref="B15:I15"/>
    <mergeCell ref="B3:B6"/>
    <mergeCell ref="F3:F11"/>
    <mergeCell ref="N3:N10"/>
  </mergeCells>
  <conditionalFormatting sqref="D6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L11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5E788A4F290A428FCD7D577CB0449F" ma:contentTypeVersion="5" ma:contentTypeDescription="Creare un nuovo documento." ma:contentTypeScope="" ma:versionID="d871c10b02e392302ad180f7aafeee19">
  <xsd:schema xmlns:xsd="http://www.w3.org/2001/XMLSchema" xmlns:xs="http://www.w3.org/2001/XMLSchema" xmlns:p="http://schemas.microsoft.com/office/2006/metadata/properties" xmlns:ns3="f8863e24-a905-442f-a2c6-8d6ae69eac16" targetNamespace="http://schemas.microsoft.com/office/2006/metadata/properties" ma:root="true" ma:fieldsID="3ec974d9137b0c020e042bb9e86a9be2" ns3:_="">
    <xsd:import namespace="f8863e24-a905-442f-a2c6-8d6ae69eac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63e24-a905-442f-a2c6-8d6ae69ea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863e24-a905-442f-a2c6-8d6ae69eac16" xsi:nil="true"/>
  </documentManagement>
</p:properties>
</file>

<file path=customXml/itemProps1.xml><?xml version="1.0" encoding="utf-8"?>
<ds:datastoreItem xmlns:ds="http://schemas.openxmlformats.org/officeDocument/2006/customXml" ds:itemID="{EC205DDE-DBA4-4CE3-8FA9-FA7889983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863e24-a905-442f-a2c6-8d6ae69ea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BBB64-8E4A-45F8-BEE7-52CA33712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8F6E8-1E12-4610-9DE4-82A91D3B1A47}">
  <ds:schemaRefs>
    <ds:schemaRef ds:uri="http://purl.org/dc/terms/"/>
    <ds:schemaRef ds:uri="f8863e24-a905-442f-a2c6-8d6ae69eac16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Atac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CASTIGLIEGO</dc:creator>
  <cp:lastModifiedBy>Domenico Castigliego</cp:lastModifiedBy>
  <dcterms:created xsi:type="dcterms:W3CDTF">2025-10-02T08:30:01Z</dcterms:created>
  <dcterms:modified xsi:type="dcterms:W3CDTF">2025-10-28T10:16:19Z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0x010100155E788A4F290A428FCD7D577CB0449F</vt:lpwstr>
  </property>
</Properties>
</file>